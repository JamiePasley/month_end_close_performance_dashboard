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lcattrainingfacility-my.sharepoint.com/personal/jamie_selcat_com/Documents/Documents/Data/"/>
    </mc:Choice>
  </mc:AlternateContent>
  <xr:revisionPtr revIDLastSave="161" documentId="8_{91358602-9413-4FF9-81C5-98E9373CD7FB}" xr6:coauthVersionLast="47" xr6:coauthVersionMax="47" xr10:uidLastSave="{2ED23D11-87C8-417C-A40C-D5DA7756EFE7}"/>
  <bookViews>
    <workbookView xWindow="-120" yWindow="-120" windowWidth="29040" windowHeight="15720" xr2:uid="{00000000-000D-0000-FFFF-FFFF00000000}"/>
  </bookViews>
  <sheets>
    <sheet name="Month_End_Close_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<sst xmlns="http://schemas.openxmlformats.org/spreadsheetml/2006/main" count="149" uniqueCount="33">
  <si>
    <t>Month</t>
  </si>
  <si>
    <t>Task</t>
  </si>
  <si>
    <t>Owner</t>
  </si>
  <si>
    <t>Due_Date</t>
  </si>
  <si>
    <t>Completed_Date</t>
  </si>
  <si>
    <t>Status</t>
  </si>
  <si>
    <t>Days_Late</t>
  </si>
  <si>
    <t>Priority</t>
  </si>
  <si>
    <t>Notes</t>
  </si>
  <si>
    <t>Jan-25</t>
  </si>
  <si>
    <t>Bank Reconciliation - Operating</t>
  </si>
  <si>
    <t>Employee_02</t>
  </si>
  <si>
    <t>High</t>
  </si>
  <si>
    <t>Complete</t>
  </si>
  <si>
    <t>Medium</t>
  </si>
  <si>
    <t>Credit Card Reconciliation</t>
  </si>
  <si>
    <t>Employee_01</t>
  </si>
  <si>
    <t>Balance Sheet Reconciliation</t>
  </si>
  <si>
    <t>AP Close</t>
  </si>
  <si>
    <t>Payroll Accrual Journal Entry</t>
  </si>
  <si>
    <t>Deferred Revenue Journal Entry</t>
  </si>
  <si>
    <t>Fixed Asset Rollforward</t>
  </si>
  <si>
    <t>Prepaids Journal Entry</t>
  </si>
  <si>
    <t>Low</t>
  </si>
  <si>
    <t>Feb-25</t>
  </si>
  <si>
    <t>Employee_03</t>
  </si>
  <si>
    <t>Late invoice submissions caused delay</t>
  </si>
  <si>
    <t>Awaiting supporting schedule from Programs</t>
  </si>
  <si>
    <t>Mar-25</t>
  </si>
  <si>
    <t>Outstanding ACH timing difference</t>
  </si>
  <si>
    <t>Bank Reconciliation - MM</t>
  </si>
  <si>
    <t>Completion Day</t>
  </si>
  <si>
    <t>Close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</si>
</sst>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C33" sqref="C33"/>
    </sheetView>
  </sheetViews>
  <sheetFormatPr defaultRowHeight="15" x14ac:dyDescent="0.25"/>
  <cols>
    <col min="1" max="1" width="12" customWidth="1"/>
    <col min="2" max="2" width="12.28515625" bestFit="1" customWidth="1"/>
    <col min="3" max="3" width="38" customWidth="1"/>
    <col min="4" max="4" width="15" customWidth="1"/>
    <col min="5" max="5" width="26.28515625" customWidth="1"/>
    <col min="6" max="6" width="25" customWidth="1"/>
    <col min="7" max="7" width="15" customWidth="1"/>
    <col min="8" max="8" width="12" customWidth="1"/>
    <col min="9" max="9" width="15" bestFit="1" customWidth="1"/>
    <col min="10" max="10" width="12" customWidth="1"/>
    <col min="11" max="11" width="45" customWidth="1"/>
  </cols>
  <sheetData>
    <row r="1" spans="1:11" x14ac:dyDescent="0.25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31</v>
      </c>
      <c r="J1" s="1" t="s">
        <v>7</v>
      </c>
      <c r="K1" s="1" t="s">
        <v>8</v>
      </c>
    </row>
    <row r="2" spans="1:11" x14ac:dyDescent="0.25">
      <c r="A2" t="s">
        <v>9</v>
      </c>
      <c r="B2" t="str">
        <f>TEXT(A2,"MMMM")</f>
        <v>January</v>
      </c>
      <c r="C2" t="s">
        <v>10</v>
      </c>
      <c r="D2" t="s">
        <v>11</v>
      </c>
      <c r="E2" s="2">
        <v>45692</v>
      </c>
      <c r="F2" s="2">
        <v>45695</v>
      </c>
      <c r="G2" t="s">
        <v>13</v>
      </c>
      <c r="H2">
        <f>MAX(0,F2-E2)</f>
        <v>3</v>
      </c>
      <c r="I2">
        <f>DAY(F2)</f>
        <v>7</v>
      </c>
      <c r="J2" t="s">
        <v>12</v>
      </c>
    </row>
    <row r="3" spans="1:11" x14ac:dyDescent="0.25">
      <c r="A3" t="s">
        <v>9</v>
      </c>
      <c r="B3" t="str">
        <f t="shared" ref="B3:B28" si="0">TEXT(A3,"MMMM")</f>
        <v>January</v>
      </c>
      <c r="C3" t="s">
        <v>30</v>
      </c>
      <c r="D3" t="s">
        <v>11</v>
      </c>
      <c r="E3" s="2">
        <v>45691</v>
      </c>
      <c r="F3" s="2">
        <v>45695</v>
      </c>
      <c r="G3" t="s">
        <v>13</v>
      </c>
      <c r="H3">
        <f t="shared" ref="H3:H28" si="1">MAX(0,F3-E3)</f>
        <v>4</v>
      </c>
      <c r="I3">
        <f t="shared" ref="I3:I28" si="2">DAY(F3)</f>
        <v>7</v>
      </c>
      <c r="J3" t="s">
        <v>23</v>
      </c>
    </row>
    <row r="4" spans="1:11" x14ac:dyDescent="0.25">
      <c r="A4" t="s">
        <v>9</v>
      </c>
      <c r="B4" t="str">
        <f t="shared" si="0"/>
        <v>January</v>
      </c>
      <c r="C4" t="s">
        <v>15</v>
      </c>
      <c r="D4" t="s">
        <v>16</v>
      </c>
      <c r="E4" s="2">
        <v>45692</v>
      </c>
      <c r="F4" s="2">
        <v>45691</v>
      </c>
      <c r="G4" t="s">
        <v>13</v>
      </c>
      <c r="H4">
        <f t="shared" si="1"/>
        <v>0</v>
      </c>
      <c r="I4">
        <f t="shared" si="2"/>
        <v>3</v>
      </c>
      <c r="J4" t="s">
        <v>12</v>
      </c>
    </row>
    <row r="5" spans="1:11" x14ac:dyDescent="0.25">
      <c r="A5" t="s">
        <v>9</v>
      </c>
      <c r="B5" t="str">
        <f t="shared" si="0"/>
        <v>January</v>
      </c>
      <c r="C5" t="s">
        <v>17</v>
      </c>
      <c r="D5" t="s">
        <v>11</v>
      </c>
      <c r="E5" s="2">
        <v>45695</v>
      </c>
      <c r="F5" s="2">
        <v>45697</v>
      </c>
      <c r="G5" t="s">
        <v>13</v>
      </c>
      <c r="H5">
        <f t="shared" si="1"/>
        <v>2</v>
      </c>
      <c r="I5">
        <f t="shared" si="2"/>
        <v>9</v>
      </c>
      <c r="J5" t="s">
        <v>14</v>
      </c>
    </row>
    <row r="6" spans="1:11" x14ac:dyDescent="0.25">
      <c r="A6" t="s">
        <v>9</v>
      </c>
      <c r="B6" t="str">
        <f t="shared" si="0"/>
        <v>January</v>
      </c>
      <c r="C6" t="s">
        <v>18</v>
      </c>
      <c r="D6" t="s">
        <v>11</v>
      </c>
      <c r="E6" s="2">
        <v>45693</v>
      </c>
      <c r="F6" s="3">
        <v>45699</v>
      </c>
      <c r="G6" t="s">
        <v>13</v>
      </c>
      <c r="H6">
        <f t="shared" si="1"/>
        <v>6</v>
      </c>
      <c r="I6">
        <f t="shared" si="2"/>
        <v>11</v>
      </c>
      <c r="J6" t="s">
        <v>12</v>
      </c>
    </row>
    <row r="7" spans="1:11" x14ac:dyDescent="0.25">
      <c r="A7" t="s">
        <v>9</v>
      </c>
      <c r="B7" t="str">
        <f t="shared" si="0"/>
        <v>January</v>
      </c>
      <c r="C7" t="s">
        <v>19</v>
      </c>
      <c r="D7" t="s">
        <v>11</v>
      </c>
      <c r="E7" s="2">
        <v>45690</v>
      </c>
      <c r="F7" s="2">
        <v>45693</v>
      </c>
      <c r="G7" t="s">
        <v>13</v>
      </c>
      <c r="H7">
        <f t="shared" si="1"/>
        <v>3</v>
      </c>
      <c r="I7">
        <f t="shared" si="2"/>
        <v>5</v>
      </c>
      <c r="J7" t="s">
        <v>14</v>
      </c>
    </row>
    <row r="8" spans="1:11" x14ac:dyDescent="0.25">
      <c r="A8" t="s">
        <v>9</v>
      </c>
      <c r="B8" t="str">
        <f t="shared" si="0"/>
        <v>January</v>
      </c>
      <c r="C8" t="s">
        <v>20</v>
      </c>
      <c r="D8" t="s">
        <v>11</v>
      </c>
      <c r="E8" s="2">
        <v>45694</v>
      </c>
      <c r="F8" s="2">
        <v>45696</v>
      </c>
      <c r="G8" t="s">
        <v>13</v>
      </c>
      <c r="H8">
        <f t="shared" si="1"/>
        <v>2</v>
      </c>
      <c r="I8">
        <f t="shared" si="2"/>
        <v>8</v>
      </c>
      <c r="J8" t="s">
        <v>12</v>
      </c>
    </row>
    <row r="9" spans="1:11" x14ac:dyDescent="0.25">
      <c r="A9" t="s">
        <v>9</v>
      </c>
      <c r="B9" t="str">
        <f t="shared" si="0"/>
        <v>January</v>
      </c>
      <c r="C9" t="s">
        <v>21</v>
      </c>
      <c r="D9" t="s">
        <v>25</v>
      </c>
      <c r="E9" s="2">
        <v>45694</v>
      </c>
      <c r="F9" s="2">
        <v>45697</v>
      </c>
      <c r="G9" t="s">
        <v>13</v>
      </c>
      <c r="H9">
        <f t="shared" si="1"/>
        <v>3</v>
      </c>
      <c r="I9">
        <f t="shared" si="2"/>
        <v>9</v>
      </c>
      <c r="J9" t="s">
        <v>23</v>
      </c>
    </row>
    <row r="10" spans="1:11" x14ac:dyDescent="0.25">
      <c r="A10" t="s">
        <v>9</v>
      </c>
      <c r="B10" t="str">
        <f t="shared" si="0"/>
        <v>January</v>
      </c>
      <c r="C10" t="s">
        <v>22</v>
      </c>
      <c r="D10" t="s">
        <v>11</v>
      </c>
      <c r="E10" s="2">
        <v>45690</v>
      </c>
      <c r="F10" s="2">
        <v>45690</v>
      </c>
      <c r="G10" t="s">
        <v>13</v>
      </c>
      <c r="H10">
        <f t="shared" si="1"/>
        <v>0</v>
      </c>
      <c r="I10">
        <f t="shared" si="2"/>
        <v>2</v>
      </c>
      <c r="J10" t="s">
        <v>23</v>
      </c>
    </row>
    <row r="11" spans="1:11" x14ac:dyDescent="0.25">
      <c r="A11" t="s">
        <v>24</v>
      </c>
      <c r="B11" t="str">
        <f t="shared" si="0"/>
        <v>February</v>
      </c>
      <c r="C11" t="s">
        <v>10</v>
      </c>
      <c r="D11" t="s">
        <v>11</v>
      </c>
      <c r="E11" s="2">
        <v>45720</v>
      </c>
      <c r="F11" s="2">
        <v>45721</v>
      </c>
      <c r="G11" t="s">
        <v>13</v>
      </c>
      <c r="H11">
        <f t="shared" si="1"/>
        <v>1</v>
      </c>
      <c r="I11">
        <f t="shared" si="2"/>
        <v>5</v>
      </c>
      <c r="J11" t="s">
        <v>12</v>
      </c>
    </row>
    <row r="12" spans="1:11" x14ac:dyDescent="0.25">
      <c r="A12" t="s">
        <v>24</v>
      </c>
      <c r="B12" t="str">
        <f t="shared" si="0"/>
        <v>February</v>
      </c>
      <c r="C12" t="s">
        <v>30</v>
      </c>
      <c r="D12" t="s">
        <v>25</v>
      </c>
      <c r="E12" s="2">
        <v>45719</v>
      </c>
      <c r="F12" s="2">
        <v>45720</v>
      </c>
      <c r="G12" t="s">
        <v>13</v>
      </c>
      <c r="H12">
        <f t="shared" si="1"/>
        <v>1</v>
      </c>
      <c r="I12">
        <f t="shared" si="2"/>
        <v>4</v>
      </c>
      <c r="J12" t="s">
        <v>23</v>
      </c>
    </row>
    <row r="13" spans="1:11" x14ac:dyDescent="0.25">
      <c r="A13" t="s">
        <v>24</v>
      </c>
      <c r="B13" t="str">
        <f t="shared" si="0"/>
        <v>February</v>
      </c>
      <c r="C13" t="s">
        <v>15</v>
      </c>
      <c r="D13" t="s">
        <v>25</v>
      </c>
      <c r="E13" s="2">
        <v>45720</v>
      </c>
      <c r="F13" s="2">
        <v>45725</v>
      </c>
      <c r="G13" t="s">
        <v>13</v>
      </c>
      <c r="H13">
        <f t="shared" si="1"/>
        <v>5</v>
      </c>
      <c r="I13">
        <f t="shared" si="2"/>
        <v>9</v>
      </c>
      <c r="J13" t="s">
        <v>12</v>
      </c>
    </row>
    <row r="14" spans="1:11" x14ac:dyDescent="0.25">
      <c r="A14" t="s">
        <v>24</v>
      </c>
      <c r="B14" t="str">
        <f t="shared" si="0"/>
        <v>February</v>
      </c>
      <c r="C14" t="s">
        <v>17</v>
      </c>
      <c r="D14" t="s">
        <v>16</v>
      </c>
      <c r="E14" s="2">
        <v>45723</v>
      </c>
      <c r="F14" s="2">
        <v>45724</v>
      </c>
      <c r="G14" t="s">
        <v>13</v>
      </c>
      <c r="H14">
        <f t="shared" si="1"/>
        <v>1</v>
      </c>
      <c r="I14">
        <f t="shared" si="2"/>
        <v>8</v>
      </c>
      <c r="J14" t="s">
        <v>14</v>
      </c>
    </row>
    <row r="15" spans="1:11" x14ac:dyDescent="0.25">
      <c r="A15" t="s">
        <v>24</v>
      </c>
      <c r="B15" t="str">
        <f t="shared" si="0"/>
        <v>February</v>
      </c>
      <c r="C15" t="s">
        <v>18</v>
      </c>
      <c r="D15" t="s">
        <v>25</v>
      </c>
      <c r="E15" s="2">
        <v>45721</v>
      </c>
      <c r="F15" s="2">
        <v>45726</v>
      </c>
      <c r="G15" t="s">
        <v>13</v>
      </c>
      <c r="H15">
        <f t="shared" si="1"/>
        <v>5</v>
      </c>
      <c r="I15">
        <f t="shared" si="2"/>
        <v>10</v>
      </c>
      <c r="J15" t="s">
        <v>12</v>
      </c>
      <c r="K15" t="s">
        <v>26</v>
      </c>
    </row>
    <row r="16" spans="1:11" x14ac:dyDescent="0.25">
      <c r="A16" t="s">
        <v>24</v>
      </c>
      <c r="B16" t="str">
        <f t="shared" si="0"/>
        <v>February</v>
      </c>
      <c r="C16" t="s">
        <v>19</v>
      </c>
      <c r="D16" t="s">
        <v>16</v>
      </c>
      <c r="E16" s="2">
        <v>45718</v>
      </c>
      <c r="F16" s="2">
        <v>45720</v>
      </c>
      <c r="G16" t="s">
        <v>13</v>
      </c>
      <c r="H16">
        <f t="shared" si="1"/>
        <v>2</v>
      </c>
      <c r="I16">
        <f t="shared" si="2"/>
        <v>4</v>
      </c>
      <c r="J16" t="s">
        <v>14</v>
      </c>
    </row>
    <row r="17" spans="1:11" x14ac:dyDescent="0.25">
      <c r="A17" t="s">
        <v>24</v>
      </c>
      <c r="B17" t="str">
        <f t="shared" si="0"/>
        <v>February</v>
      </c>
      <c r="C17" t="s">
        <v>20</v>
      </c>
      <c r="D17" t="s">
        <v>16</v>
      </c>
      <c r="E17" s="2">
        <v>45722</v>
      </c>
      <c r="F17" s="2">
        <v>45724</v>
      </c>
      <c r="G17" t="s">
        <v>13</v>
      </c>
      <c r="H17">
        <f t="shared" si="1"/>
        <v>2</v>
      </c>
      <c r="I17">
        <f t="shared" si="2"/>
        <v>8</v>
      </c>
      <c r="J17" t="s">
        <v>12</v>
      </c>
      <c r="K17" t="s">
        <v>27</v>
      </c>
    </row>
    <row r="18" spans="1:11" x14ac:dyDescent="0.25">
      <c r="A18" t="s">
        <v>24</v>
      </c>
      <c r="B18" t="str">
        <f t="shared" si="0"/>
        <v>February</v>
      </c>
      <c r="C18" t="s">
        <v>21</v>
      </c>
      <c r="D18" t="s">
        <v>11</v>
      </c>
      <c r="E18" s="2">
        <v>45722</v>
      </c>
      <c r="F18" s="2">
        <v>45722</v>
      </c>
      <c r="G18" t="s">
        <v>13</v>
      </c>
      <c r="H18">
        <f t="shared" si="1"/>
        <v>0</v>
      </c>
      <c r="I18">
        <f t="shared" si="2"/>
        <v>6</v>
      </c>
      <c r="J18" t="s">
        <v>23</v>
      </c>
    </row>
    <row r="19" spans="1:11" x14ac:dyDescent="0.25">
      <c r="A19" t="s">
        <v>24</v>
      </c>
      <c r="B19" t="str">
        <f t="shared" si="0"/>
        <v>February</v>
      </c>
      <c r="C19" t="s">
        <v>22</v>
      </c>
      <c r="D19" t="s">
        <v>11</v>
      </c>
      <c r="E19" s="2">
        <v>45718</v>
      </c>
      <c r="F19" s="2">
        <v>45720</v>
      </c>
      <c r="G19" t="s">
        <v>13</v>
      </c>
      <c r="H19">
        <f t="shared" si="1"/>
        <v>2</v>
      </c>
      <c r="I19">
        <f t="shared" si="2"/>
        <v>4</v>
      </c>
      <c r="J19" t="s">
        <v>23</v>
      </c>
    </row>
    <row r="20" spans="1:11" x14ac:dyDescent="0.25">
      <c r="A20" t="s">
        <v>28</v>
      </c>
      <c r="B20" t="str">
        <f t="shared" si="0"/>
        <v>March</v>
      </c>
      <c r="C20" t="s">
        <v>10</v>
      </c>
      <c r="D20" t="s">
        <v>11</v>
      </c>
      <c r="E20" s="2">
        <v>45751</v>
      </c>
      <c r="F20" s="2">
        <v>45751</v>
      </c>
      <c r="G20" t="s">
        <v>13</v>
      </c>
      <c r="H20">
        <f t="shared" si="1"/>
        <v>0</v>
      </c>
      <c r="I20">
        <f t="shared" si="2"/>
        <v>4</v>
      </c>
      <c r="J20" t="s">
        <v>12</v>
      </c>
    </row>
    <row r="21" spans="1:11" x14ac:dyDescent="0.25">
      <c r="A21" t="s">
        <v>28</v>
      </c>
      <c r="B21" t="str">
        <f t="shared" si="0"/>
        <v>March</v>
      </c>
      <c r="C21" t="s">
        <v>30</v>
      </c>
      <c r="D21" t="s">
        <v>11</v>
      </c>
      <c r="E21" s="2">
        <v>45750</v>
      </c>
      <c r="F21" s="2">
        <v>45751</v>
      </c>
      <c r="G21" t="s">
        <v>13</v>
      </c>
      <c r="H21">
        <f t="shared" si="1"/>
        <v>1</v>
      </c>
      <c r="I21">
        <f t="shared" si="2"/>
        <v>4</v>
      </c>
      <c r="J21" t="s">
        <v>23</v>
      </c>
      <c r="K21" t="s">
        <v>29</v>
      </c>
    </row>
    <row r="22" spans="1:11" x14ac:dyDescent="0.25">
      <c r="A22" t="s">
        <v>28</v>
      </c>
      <c r="B22" t="str">
        <f t="shared" si="0"/>
        <v>March</v>
      </c>
      <c r="C22" t="s">
        <v>15</v>
      </c>
      <c r="D22" t="s">
        <v>16</v>
      </c>
      <c r="E22" s="2">
        <v>45751</v>
      </c>
      <c r="F22" s="2">
        <v>45754</v>
      </c>
      <c r="G22" t="s">
        <v>13</v>
      </c>
      <c r="H22">
        <f t="shared" si="1"/>
        <v>3</v>
      </c>
      <c r="I22">
        <f t="shared" si="2"/>
        <v>7</v>
      </c>
      <c r="J22" t="s">
        <v>12</v>
      </c>
    </row>
    <row r="23" spans="1:11" x14ac:dyDescent="0.25">
      <c r="A23" t="s">
        <v>28</v>
      </c>
      <c r="B23" t="str">
        <f t="shared" si="0"/>
        <v>March</v>
      </c>
      <c r="C23" t="s">
        <v>17</v>
      </c>
      <c r="D23" t="s">
        <v>25</v>
      </c>
      <c r="E23" s="2">
        <v>45754</v>
      </c>
      <c r="F23" s="2">
        <v>45754</v>
      </c>
      <c r="G23" t="s">
        <v>13</v>
      </c>
      <c r="H23">
        <f t="shared" si="1"/>
        <v>0</v>
      </c>
      <c r="I23">
        <f t="shared" si="2"/>
        <v>7</v>
      </c>
      <c r="J23" t="s">
        <v>14</v>
      </c>
    </row>
    <row r="24" spans="1:11" x14ac:dyDescent="0.25">
      <c r="A24" t="s">
        <v>28</v>
      </c>
      <c r="B24" t="str">
        <f t="shared" si="0"/>
        <v>March</v>
      </c>
      <c r="C24" t="s">
        <v>18</v>
      </c>
      <c r="D24" t="s">
        <v>16</v>
      </c>
      <c r="E24" s="2">
        <v>45752</v>
      </c>
      <c r="F24" s="2">
        <v>45755</v>
      </c>
      <c r="G24" t="s">
        <v>13</v>
      </c>
      <c r="H24">
        <f t="shared" si="1"/>
        <v>3</v>
      </c>
      <c r="I24">
        <f t="shared" si="2"/>
        <v>8</v>
      </c>
      <c r="J24" t="s">
        <v>12</v>
      </c>
    </row>
    <row r="25" spans="1:11" x14ac:dyDescent="0.25">
      <c r="A25" t="s">
        <v>28</v>
      </c>
      <c r="B25" t="str">
        <f t="shared" si="0"/>
        <v>March</v>
      </c>
      <c r="C25" t="s">
        <v>19</v>
      </c>
      <c r="D25" t="s">
        <v>25</v>
      </c>
      <c r="E25" s="2">
        <v>45753</v>
      </c>
      <c r="F25" s="2">
        <v>45753</v>
      </c>
      <c r="G25" t="s">
        <v>13</v>
      </c>
      <c r="H25">
        <f t="shared" si="1"/>
        <v>0</v>
      </c>
      <c r="I25">
        <f t="shared" si="2"/>
        <v>6</v>
      </c>
      <c r="J25" t="s">
        <v>14</v>
      </c>
    </row>
    <row r="26" spans="1:11" x14ac:dyDescent="0.25">
      <c r="A26" t="s">
        <v>28</v>
      </c>
      <c r="B26" t="str">
        <f t="shared" si="0"/>
        <v>March</v>
      </c>
      <c r="C26" t="s">
        <v>20</v>
      </c>
      <c r="D26" t="s">
        <v>16</v>
      </c>
      <c r="E26" s="2">
        <v>45753</v>
      </c>
      <c r="F26" s="2">
        <v>45754</v>
      </c>
      <c r="G26" t="s">
        <v>13</v>
      </c>
      <c r="H26">
        <f t="shared" si="1"/>
        <v>1</v>
      </c>
      <c r="I26">
        <f t="shared" si="2"/>
        <v>7</v>
      </c>
      <c r="J26" t="s">
        <v>12</v>
      </c>
    </row>
    <row r="27" spans="1:11" x14ac:dyDescent="0.25">
      <c r="A27" t="s">
        <v>28</v>
      </c>
      <c r="B27" t="str">
        <f t="shared" si="0"/>
        <v>March</v>
      </c>
      <c r="C27" t="s">
        <v>21</v>
      </c>
      <c r="D27" t="s">
        <v>25</v>
      </c>
      <c r="E27" s="2">
        <v>45753</v>
      </c>
      <c r="F27" s="2">
        <v>45756</v>
      </c>
      <c r="G27" t="s">
        <v>13</v>
      </c>
      <c r="H27">
        <f t="shared" si="1"/>
        <v>3</v>
      </c>
      <c r="I27">
        <f t="shared" si="2"/>
        <v>9</v>
      </c>
      <c r="J27" t="s">
        <v>23</v>
      </c>
    </row>
    <row r="28" spans="1:11" x14ac:dyDescent="0.25">
      <c r="A28" t="s">
        <v>28</v>
      </c>
      <c r="B28" t="str">
        <f t="shared" si="0"/>
        <v>March</v>
      </c>
      <c r="C28" t="s">
        <v>22</v>
      </c>
      <c r="D28" t="s">
        <v>11</v>
      </c>
      <c r="E28" s="2">
        <v>45749</v>
      </c>
      <c r="F28" s="2">
        <v>45749</v>
      </c>
      <c r="G28" t="s">
        <v>13</v>
      </c>
      <c r="H28">
        <f t="shared" si="1"/>
        <v>0</v>
      </c>
      <c r="I28">
        <f t="shared" si="2"/>
        <v>2</v>
      </c>
      <c r="J28" t="s">
        <v>23</v>
      </c>
    </row>
  </sheetData>
  <dataValidations count="2">
    <dataValidation type="list" allowBlank="1" sqref="G2:G29" xr:uid="{00000000-0002-0000-0000-000000000000}">
      <formula1>"Complete,In Progress,Delayed"</formula1>
    </dataValidation>
    <dataValidation type="list" allowBlank="1" sqref="J2:J29" xr:uid="{00000000-0002-0000-0000-000001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Month_End_Close_Tracker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Pasley</cp:lastModifiedBy>
  <dcterms:created xsi:type="dcterms:W3CDTF">2026-05-26T19:59:33Z</dcterms:created>
  <dcterms:modified xsi:type="dcterms:W3CDTF">2026-05-28T15:14:12Z</dcterms:modified>
</cp:coreProperties>
</file>